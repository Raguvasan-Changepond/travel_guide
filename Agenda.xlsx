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Travel Guide - Avolta Customer\"/>
    </mc:Choice>
  </mc:AlternateContent>
  <bookViews>
    <workbookView xWindow="0" yWindow="0" windowWidth="20490" windowHeight="7530" firstSheet="2" activeTab="4"/>
  </bookViews>
  <sheets>
    <sheet name="Client Profile" sheetId="1" state="hidden" r:id="rId1"/>
    <sheet name="Objective" sheetId="6" state="hidden" r:id="rId2"/>
    <sheet name="Objective_Visit" sheetId="10" r:id="rId3"/>
    <sheet name="Office Visit Plan_Updated" sheetId="9" r:id="rId4"/>
    <sheet name="Config" sheetId="12" r:id="rId5"/>
    <sheet name="Logistics" sheetId="4" state="hidden" r:id="rId6"/>
    <sheet name="Office Visit Plan - Old" sheetId="3" state="hidden" r:id="rId7"/>
  </sheets>
  <calcPr calcId="162913"/>
</workbook>
</file>

<file path=xl/calcChain.xml><?xml version="1.0" encoding="utf-8"?>
<calcChain xmlns="http://schemas.openxmlformats.org/spreadsheetml/2006/main">
  <c r="C21" i="9" l="1"/>
  <c r="C20" i="9"/>
  <c r="C19" i="9"/>
  <c r="D13" i="9"/>
  <c r="C14" i="9" s="1"/>
  <c r="D14" i="9" s="1"/>
  <c r="C15" i="9" s="1"/>
  <c r="D15" i="9" s="1"/>
  <c r="C16" i="9" s="1"/>
  <c r="D16" i="9" s="1"/>
  <c r="C17" i="9" s="1"/>
  <c r="D17" i="9" s="1"/>
  <c r="C18" i="9" s="1"/>
  <c r="D3" i="9"/>
  <c r="D18" i="9" l="1"/>
  <c r="D20" i="9" s="1"/>
  <c r="D19" i="9" l="1"/>
  <c r="D21" i="9" s="1"/>
  <c r="C22" i="9" s="1"/>
  <c r="D22" i="9" l="1"/>
  <c r="C23" i="9" l="1"/>
  <c r="D23" i="9" s="1"/>
  <c r="C24" i="9" l="1"/>
  <c r="D24" i="9" s="1"/>
  <c r="C25" i="9" s="1"/>
  <c r="D25" i="9" s="1"/>
  <c r="C26" i="9" s="1"/>
  <c r="D26" i="9" s="1"/>
  <c r="C27" i="9" s="1"/>
  <c r="D27" i="9" s="1"/>
  <c r="C4" i="9" l="1"/>
  <c r="D4" i="9" s="1"/>
  <c r="C5" i="9"/>
  <c r="D5" i="9" l="1"/>
  <c r="C6" i="9" s="1"/>
  <c r="D6" i="9" l="1"/>
  <c r="C7" i="9" s="1"/>
  <c r="D7" i="9" l="1"/>
  <c r="C8" i="9" s="1"/>
  <c r="D8" i="9" l="1"/>
  <c r="C9" i="9" s="1"/>
  <c r="D9" i="9" l="1"/>
  <c r="C10" i="9" s="1"/>
  <c r="D10" i="9" l="1"/>
  <c r="C11" i="9" l="1"/>
  <c r="D11" i="9" s="1"/>
  <c r="C12" i="9" s="1"/>
  <c r="D12" i="9" s="1"/>
</calcChain>
</file>

<file path=xl/sharedStrings.xml><?xml version="1.0" encoding="utf-8"?>
<sst xmlns="http://schemas.openxmlformats.org/spreadsheetml/2006/main" count="252" uniqueCount="154">
  <si>
    <t>Client Name</t>
  </si>
  <si>
    <t>Visit Start Date</t>
  </si>
  <si>
    <t>Visit End Date</t>
  </si>
  <si>
    <t>Office Visit Date</t>
  </si>
  <si>
    <t>Remarks</t>
  </si>
  <si>
    <t>Date</t>
  </si>
  <si>
    <t>Focus Theme</t>
  </si>
  <si>
    <t>Owner</t>
  </si>
  <si>
    <t>Status</t>
  </si>
  <si>
    <t>Session Title</t>
  </si>
  <si>
    <t>Objective</t>
  </si>
  <si>
    <t>Presenter</t>
  </si>
  <si>
    <t>Client Participants</t>
  </si>
  <si>
    <t>Artifacts / Inputs</t>
  </si>
  <si>
    <t>Expected Outcome</t>
  </si>
  <si>
    <t>Category</t>
  </si>
  <si>
    <t>Item</t>
  </si>
  <si>
    <t>Time</t>
  </si>
  <si>
    <t>Vendor / Contact</t>
  </si>
  <si>
    <t>Responsibility</t>
  </si>
  <si>
    <t>Manuel Lopez</t>
  </si>
  <si>
    <t>Ino Detelic</t>
  </si>
  <si>
    <t>Manuel &amp; INO</t>
  </si>
  <si>
    <t>Mahabalipuram</t>
  </si>
  <si>
    <t>Update from Changepond Leadership</t>
  </si>
  <si>
    <t xml:space="preserve">Coffee Break
</t>
  </si>
  <si>
    <t>POC</t>
  </si>
  <si>
    <t xml:space="preserve">Dinner at Hotel  </t>
  </si>
  <si>
    <t xml:space="preserve">Traditional Banana Leaf Dinner </t>
  </si>
  <si>
    <t xml:space="preserve">Ideathon </t>
  </si>
  <si>
    <t xml:space="preserve">Tree Planting </t>
  </si>
  <si>
    <t xml:space="preserve">Team building  at TURF </t>
  </si>
  <si>
    <t>Dinner at Changepond</t>
  </si>
  <si>
    <t xml:space="preserve">Farewell </t>
  </si>
  <si>
    <t xml:space="preserve">2 , 3, 4 March </t>
  </si>
  <si>
    <t>Profile</t>
  </si>
  <si>
    <t>-Interested in Sports
-He runs Marathons
-He is planning to bring his Mother to Chennai, his Mother is Interested to Gandhi and Mother Thersa</t>
  </si>
  <si>
    <t xml:space="preserve">- in this initial careerd he worked in AutoCAD . So at changepond , when can show our engineering capability
-PizzaSnake - Games Developer
-He is also an Architect , who has collaborated and built housing projects
-Multilingual : English , Croatian , Portugues, Spanish
-I think he plays, bass and sings, in a metal band </t>
  </si>
  <si>
    <t>Hotel to Changepond - Pick up</t>
  </si>
  <si>
    <t xml:space="preserve">Receive at Changepond Office 
</t>
  </si>
  <si>
    <t>Sara</t>
  </si>
  <si>
    <t>Selva</t>
  </si>
  <si>
    <t>Inform to Admin to Put the slides in the Reception</t>
  </si>
  <si>
    <t>Meet and Greet by Changepond Leadership
Introduce our Leaders</t>
  </si>
  <si>
    <t xml:space="preserve">Shore Temple , Aruna's Penace , 5th Rathas </t>
  </si>
  <si>
    <t>Arrange Coffee and Snacks after informing admin</t>
  </si>
  <si>
    <t>Assemble in 5th Floor conference room
Manuel , Ino 
-Client Introduction
- Road Map
Team Introduction</t>
  </si>
  <si>
    <t>Manuel and INO to introduce themselves and after that given a talk or presentation on 2026 Roadmap and general infomration he would like to share
Changepond Team to assemble in Conference room and introduce themselves</t>
  </si>
  <si>
    <t>To Showcase about Changepond as a organization</t>
  </si>
  <si>
    <t xml:space="preserve">-QA Proposal for Manual Testing
-QA Proposal for Automation Testing </t>
  </si>
  <si>
    <t xml:space="preserve">POC 1 : Dynamic Personalized Offer Engine
POC 2 : Shop by Emotion
POC 3 :Real time operational Dashboard view 
POC 4 : Orders screen - Intelligent priority sorting using color coding </t>
  </si>
  <si>
    <t xml:space="preserve">Lunch </t>
  </si>
  <si>
    <t>Finalise the Best Ideas Brainstorming with Client</t>
  </si>
  <si>
    <t xml:space="preserve">1. Ideathon to be planned from Feb 16 to Feb 20
2. Top 10 Ideas to be sorted 
3. Top 10 Idead to be presented to Client and Finalise the best ideas </t>
  </si>
  <si>
    <t xml:space="preserve">DevOPS </t>
  </si>
  <si>
    <t>Dev Ops Session and Presentation</t>
  </si>
  <si>
    <t>Prize Distrubution to Team 
Presenting of Mememto to Client</t>
  </si>
  <si>
    <t>Team building inside Changepond</t>
  </si>
  <si>
    <t xml:space="preserve">Coffee - 
Walk Around  Changepond Building 
Walk Around SWISS Zone </t>
  </si>
  <si>
    <t xml:space="preserve">Show the Client Desk </t>
  </si>
  <si>
    <t>Book a Conference room for clients</t>
  </si>
  <si>
    <t>Hotel --&gt; ST Thomas Mount Basilica --&gt; Little Mount --&gt; San Thome --&gt; Hotel</t>
  </si>
  <si>
    <t>Meeting Slot 1</t>
  </si>
  <si>
    <t>QA Proposal</t>
  </si>
  <si>
    <t>Meet the Executive leaders of Changepond</t>
  </si>
  <si>
    <t>Have Coffee Light snacks with Leaders</t>
  </si>
  <si>
    <t>Coffee /Coconut Water/Juice</t>
  </si>
  <si>
    <t>Give a Working space for Manuel and Ino</t>
  </si>
  <si>
    <t>Meeting Slot 2</t>
  </si>
  <si>
    <t>OMS Session with ENO</t>
  </si>
  <si>
    <t>Maintenance and Support of Devops in Digital</t>
  </si>
  <si>
    <t>Dhinakar/Amol</t>
  </si>
  <si>
    <t>Dhinakar</t>
  </si>
  <si>
    <t>Akhlilesh</t>
  </si>
  <si>
    <t>SP</t>
  </si>
  <si>
    <t xml:space="preserve">Key Activities </t>
  </si>
  <si>
    <t>Hotel</t>
  </si>
  <si>
    <t>Transport</t>
  </si>
  <si>
    <t>Meals</t>
  </si>
  <si>
    <t>Office</t>
  </si>
  <si>
    <t>Accomodation</t>
  </si>
  <si>
    <t>CAB</t>
  </si>
  <si>
    <t>Traditional</t>
  </si>
  <si>
    <t>INO</t>
  </si>
  <si>
    <t>Meeting Room</t>
  </si>
  <si>
    <t xml:space="preserve">WIFI Access </t>
  </si>
  <si>
    <t>Visitor Pass</t>
  </si>
  <si>
    <t>Airport to Hotel</t>
  </si>
  <si>
    <t>Start Time</t>
  </si>
  <si>
    <t>End Time</t>
  </si>
  <si>
    <t>Location</t>
  </si>
  <si>
    <t>Changepond Corporate Overiew</t>
  </si>
  <si>
    <t>Changepond Leadership Update</t>
  </si>
  <si>
    <t>Manuel &amp; Ino</t>
  </si>
  <si>
    <t>Changepond Participants</t>
  </si>
  <si>
    <t>New Initiatives - Demo</t>
  </si>
  <si>
    <t>POC 1 : Dynamic Personalized Offer Engine
POC 2 : Shop by Emotion
POC 3 :Real time operational Dashboard view 
POC 4 : Orders screen - Intelligent priority sorting using color coding 
POC 5 : QA POC's</t>
  </si>
  <si>
    <t>Ideathon 2.0</t>
  </si>
  <si>
    <t>Sara / Pothy</t>
  </si>
  <si>
    <t>Danny</t>
  </si>
  <si>
    <t xml:space="preserve">Avolta - 2026 RoadMap &amp; Priorities </t>
  </si>
  <si>
    <t>Avolta's roadmap, priorities, expectations and understand potential areas for collaboration</t>
  </si>
  <si>
    <t>Balaji D, Nagaraj / Sara</t>
  </si>
  <si>
    <t>Prize Distribution</t>
  </si>
  <si>
    <t>Pick up at Airport . Inform Hotel to arrange the Pick up at Airport</t>
  </si>
  <si>
    <t xml:space="preserve">Traditional </t>
  </si>
  <si>
    <t xml:space="preserve">Meet and Greet by Changepond Leadership
Welcome guest - Meet Leadership Team &amp; Project Team
</t>
  </si>
  <si>
    <t>Topic 3: PWA - Umbraco - Our Capabilities</t>
  </si>
  <si>
    <t xml:space="preserve">Team Dinner </t>
  </si>
  <si>
    <t xml:space="preserve">QA Organisation view (Automation + Manual ) </t>
  </si>
  <si>
    <t xml:space="preserve">Unified Devops Capability ( Corp + Digital ) </t>
  </si>
  <si>
    <t>S.No</t>
  </si>
  <si>
    <t>Description</t>
  </si>
  <si>
    <t xml:space="preserve">PWA Umbraco - Capability showcase </t>
  </si>
  <si>
    <t>Knowledge Consolidation - Platform</t>
  </si>
  <si>
    <t xml:space="preserve">Team Building at Turf </t>
  </si>
  <si>
    <t>Balaji D, Nagaraj</t>
  </si>
  <si>
    <t>Akhilesh, Gopal, Sakthivel</t>
  </si>
  <si>
    <t>Team</t>
  </si>
  <si>
    <t>Leadership Team</t>
  </si>
  <si>
    <t>Changepond's experience in offering QA Organizatin setup for other customer - Our Approach, Framework &amp; Methodology, AI in QA Offerings, Governance &amp; Metrics, Risk &amp; Challenges</t>
  </si>
  <si>
    <t>Topic 2: Devops - Support &amp; Maintenance</t>
  </si>
  <si>
    <t>Our Support and Maintenance model, service offerings, AI‑driven value additions, Unified Operating Model (covering Corporate Apps and Digital Apps), reusability of Corp App components within Digital Apps, team sizing approach, KPIs, and current Corporate Apps activity coverage</t>
  </si>
  <si>
    <t xml:space="preserve">Dakshinachitra </t>
  </si>
  <si>
    <t>DakshinaChitra is a prominent living heritage museum that offers an immersive experience into the architecture, lifestyles, and arts of the four South Indian states—Tamil Nadu, Kerala, Karnataka, and Andhra Pradesh.</t>
  </si>
  <si>
    <t>Mahabalipuram (Mamallapuram) is a historic coastal town in Tamil Nadu, globally renowned for its UNESCO World Heritage group of monuments from the 7th and 8th-century Pallava dynasty. Places to visit 1) Shore temple 2) Five Rathas 3)Krishna's Butter Ball</t>
  </si>
  <si>
    <t>Our capabilities with Umbraco, Migration approach from Magento to Umbraco, and evaluate how Umbraco can support E‑commerce requirements, including multi‑terminal websites, promotions, and multi‑language functionality.</t>
  </si>
  <si>
    <t>Discussion: Use of AI for knowledge acquisition in OMS—AI can extract functional flows, identify dependencies, map integrations, and summarize key features. This discussion aims to clarify what is expected, who will benefit, and how these outcomes can be achieved.</t>
  </si>
  <si>
    <t xml:space="preserve">Topic 5 : CLAP Framework - Agentic Model </t>
  </si>
  <si>
    <t>Live demo on how CLAP can build an application from a prototype to a fully functional application</t>
  </si>
  <si>
    <t>Coffee Break</t>
  </si>
  <si>
    <t>Interaction with the team : What went well in 2026 and what are the improvements</t>
  </si>
  <si>
    <t>OMS Team</t>
  </si>
  <si>
    <t>Godwin &amp; Prasath</t>
  </si>
  <si>
    <t>Anil, Selva, SaravanaPandy</t>
  </si>
  <si>
    <t>OMS Team Meeting - Brainstorming Sessions</t>
  </si>
  <si>
    <t>Topic 1: QA Organization – Reimagine</t>
  </si>
  <si>
    <t>Finalize the Best Ideas from the Brainstorming Session with Avolta</t>
  </si>
  <si>
    <t>Topic 5: To be decided</t>
  </si>
  <si>
    <t>Next Steps</t>
  </si>
  <si>
    <t>Dinner with Changepond Leadership Team at the Hotel</t>
  </si>
  <si>
    <t>Dinner with Changepond Leadership Team</t>
  </si>
  <si>
    <t>Topic 4 : Accelerate Knowledge Acquisition Techniques (Use of AI)</t>
  </si>
  <si>
    <t>Topic</t>
  </si>
  <si>
    <t>1.Devops - Support &amp; Maintenance Model
2. Reuse 50–60% of DevOps/S&amp;M practices from Corporate Apps for Digital.
3. Add capabilities to manage Digital’s fast and complex releases (AWS, APIs, Mobile, Magento, Python).
4. Strengthen CI/CD, automation, monitoring, and deployment strategies.
5. Adapt the Corporate App model with Digital-specific tooling and processes for scalability.</t>
  </si>
  <si>
    <t>1. Changepond’s experience in setting up QA organizations—covering approach, frameworks, AI-enabled QA, governance, and metrics.
2. Ability to manage key risks and challenges in QA transformation.
3. QA-as-a-Service model focusing on evaluating and improving Selenium scripts and setting benchmarks.
4. Increasing use of AI in automation to reduce effort and dependency on large Selenium teams.</t>
  </si>
  <si>
    <t>1. Our capabilities with Umbraco
2. Migration approach from Magento to Umbraco 
3. Showcase how Umbraco can support E‑commerce requirements, including multi‑terminal websites, promotions, and multi‑language functionality.</t>
  </si>
  <si>
    <t>1. Use of AI for knowledge acquisition in OMS
2. AI can extract functional flows, identify dependencies, map integrations, and summarize key features. 
3. What is expected, who will benefit, and how these outcomes can be achieved</t>
  </si>
  <si>
    <t>Duration(Mins)</t>
  </si>
  <si>
    <t>Coffee Break, Tree Planting. Facility Visit (GCC), Team Photo</t>
  </si>
  <si>
    <t xml:space="preserve">Sheet name </t>
  </si>
  <si>
    <t>Columns</t>
  </si>
  <si>
    <t>Office Visit Plan_Updated</t>
  </si>
  <si>
    <t>Date, Duration(Mins), Start Time, End Time, Session Title, 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</si>
</sst>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10" x14ac:knownFonts="1">
    <font>
      <sz val="11"/>
      <color theme="1"/>
      <name val="Calibri"/>
      <family val="2"/>
      <scheme val="minor"/>
    </font>
    <font>
      <b/>
      <sz val="11"/>
      <name val="Calibri"/>
      <family val="2"/>
    </font>
    <font>
      <b/>
      <sz val="11"/>
      <name val="Calibri"/>
      <family val="2"/>
    </font>
    <font>
      <sz val="11"/>
      <name val="Calibri"/>
      <family val="2"/>
    </font>
    <font>
      <sz val="10"/>
      <color theme="1"/>
      <name val="Segoe UI"/>
      <family val="2"/>
    </font>
    <font>
      <b/>
      <sz val="10"/>
      <color theme="1"/>
      <name val="Segoe UI"/>
      <family val="2"/>
    </font>
    <font>
      <b/>
      <sz val="11"/>
      <name val="Segoe UI"/>
      <family val="2"/>
    </font>
    <font>
      <sz val="11"/>
      <color theme="1"/>
      <name val="Segoe UI"/>
      <family val="2"/>
    </font>
    <font>
      <sz val="11"/>
      <name val="Segoe UI"/>
      <family val="2"/>
    </font>
    <font>
      <b/>
      <sz val="11"/>
      <color theme="1"/>
      <name val="Calibri"/>
      <family val="2"/>
      <scheme val="minor"/>
    </font>
  </fonts>
  <fills count="5">
    <fill>
      <patternFill patternType="none"/>
    </fill>
    <fill>
      <patternFill patternType="gray125"/>
    </fill>
    <fill>
      <patternFill patternType="solid">
        <fgColor rgb="FFD9E1F2"/>
        <bgColor rgb="FFD9E1F2"/>
      </patternFill>
    </fill>
    <fill>
      <patternFill patternType="solid">
        <fgColor theme="0"/>
        <bgColor rgb="FFD9E1F2"/>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2" borderId="0" xfId="0" applyFont="1" applyFill="1"/>
    <xf numFmtId="0" fontId="0" fillId="0" borderId="0" xfId="0" applyAlignment="1">
      <alignment wrapText="1"/>
    </xf>
    <xf numFmtId="0" fontId="0" fillId="0" borderId="0" xfId="0" applyAlignment="1">
      <alignment vertical="top" wrapText="1"/>
    </xf>
    <xf numFmtId="0" fontId="1" fillId="2" borderId="0" xfId="0" applyFont="1" applyFill="1" applyAlignment="1">
      <alignment vertical="top" wrapText="1"/>
    </xf>
    <xf numFmtId="0" fontId="0" fillId="0" borderId="0" xfId="0" quotePrefix="1" applyAlignment="1">
      <alignment vertical="top" wrapText="1"/>
    </xf>
    <xf numFmtId="0" fontId="2" fillId="2" borderId="0" xfId="0" applyFont="1" applyFill="1" applyAlignment="1">
      <alignment vertical="top" wrapText="1"/>
    </xf>
    <xf numFmtId="0" fontId="3" fillId="0" borderId="0" xfId="0" applyFont="1" applyFill="1" applyAlignment="1">
      <alignment vertical="top" wrapText="1"/>
    </xf>
    <xf numFmtId="0" fontId="0" fillId="0" borderId="0" xfId="0" applyFont="1" applyFill="1" applyAlignment="1">
      <alignmen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16" fontId="0" fillId="0" borderId="1" xfId="0" applyNumberFormat="1" applyBorder="1" applyAlignment="1">
      <alignment horizontal="left" vertical="top" wrapText="1"/>
    </xf>
    <xf numFmtId="0" fontId="0" fillId="0" borderId="1" xfId="0" quotePrefix="1" applyBorder="1" applyAlignment="1">
      <alignment horizontal="left" vertical="top" wrapText="1"/>
    </xf>
    <xf numFmtId="16" fontId="0" fillId="0" borderId="0" xfId="0" applyNumberFormat="1"/>
    <xf numFmtId="0" fontId="1" fillId="2" borderId="0" xfId="0" applyFont="1" applyFill="1" applyAlignment="1">
      <alignment horizontal="center" vertical="top" wrapText="1"/>
    </xf>
    <xf numFmtId="0" fontId="3" fillId="0" borderId="0" xfId="0" applyFont="1" applyFill="1" applyAlignment="1">
      <alignment horizontal="center" vertical="top" wrapText="1"/>
    </xf>
    <xf numFmtId="18" fontId="0" fillId="0" borderId="0" xfId="0" applyNumberFormat="1" applyAlignment="1">
      <alignment horizontal="center" vertical="top" wrapText="1"/>
    </xf>
    <xf numFmtId="0" fontId="0" fillId="0" borderId="0" xfId="0" applyAlignment="1">
      <alignment horizontal="center" vertical="top" wrapText="1"/>
    </xf>
    <xf numFmtId="164" fontId="0" fillId="0" borderId="0" xfId="0" applyNumberFormat="1" applyAlignment="1">
      <alignment vertical="top" wrapText="1"/>
    </xf>
    <xf numFmtId="164" fontId="0" fillId="0" borderId="0" xfId="0" applyNumberFormat="1" applyFont="1" applyFill="1" applyAlignment="1">
      <alignment vertical="top" wrapText="1"/>
    </xf>
    <xf numFmtId="0" fontId="0" fillId="0" borderId="0" xfId="0" applyAlignment="1">
      <alignment horizontal="center" vertical="center" wrapText="1"/>
    </xf>
    <xf numFmtId="0" fontId="0" fillId="0" borderId="0" xfId="0" applyAlignment="1">
      <alignment vertical="center" wrapText="1"/>
    </xf>
    <xf numFmtId="0" fontId="5" fillId="0" borderId="1" xfId="0" applyFont="1" applyBorder="1"/>
    <xf numFmtId="0" fontId="4" fillId="0" borderId="1" xfId="0" applyFont="1" applyBorder="1"/>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wrapText="1"/>
    </xf>
    <xf numFmtId="0" fontId="0" fillId="0" borderId="0" xfId="0" applyFont="1" applyFill="1" applyAlignment="1">
      <alignment vertical="center" wrapText="1"/>
    </xf>
    <xf numFmtId="164" fontId="0" fillId="0" borderId="0" xfId="0" applyNumberFormat="1" applyAlignment="1">
      <alignment horizontal="center" vertical="center" wrapText="1"/>
    </xf>
    <xf numFmtId="1" fontId="0" fillId="0" borderId="0" xfId="0" applyNumberFormat="1" applyBorder="1" applyAlignment="1">
      <alignment horizontal="center" vertical="center" wrapText="1"/>
    </xf>
    <xf numFmtId="21" fontId="0" fillId="0" borderId="0" xfId="0" applyNumberFormat="1" applyAlignment="1">
      <alignment horizontal="center" vertical="center" wrapText="1"/>
    </xf>
    <xf numFmtId="1" fontId="0" fillId="0" borderId="0" xfId="0" applyNumberFormat="1" applyBorder="1" applyAlignment="1">
      <alignment vertical="center" wrapText="1"/>
    </xf>
    <xf numFmtId="1" fontId="0" fillId="0" borderId="0" xfId="0" applyNumberFormat="1" applyAlignment="1">
      <alignment vertical="center" wrapText="1"/>
    </xf>
    <xf numFmtId="21" fontId="6" fillId="3" borderId="1" xfId="0" applyNumberFormat="1" applyFont="1" applyFill="1" applyBorder="1" applyAlignment="1">
      <alignment horizontal="center" vertical="center" wrapText="1"/>
    </xf>
    <xf numFmtId="1"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0" xfId="0" applyFont="1" applyFill="1" applyAlignment="1">
      <alignment horizontal="center" vertical="center" wrapText="1"/>
    </xf>
    <xf numFmtId="164" fontId="7" fillId="4" borderId="1" xfId="0" applyNumberFormat="1" applyFont="1" applyFill="1" applyBorder="1" applyAlignment="1">
      <alignment horizontal="center" vertical="center" wrapText="1"/>
    </xf>
    <xf numFmtId="1" fontId="7" fillId="4" borderId="1" xfId="0" applyNumberFormat="1" applyFont="1" applyFill="1" applyBorder="1" applyAlignment="1">
      <alignment vertical="center" wrapText="1"/>
    </xf>
    <xf numFmtId="20" fontId="7" fillId="4" borderId="1" xfId="0" applyNumberFormat="1" applyFont="1" applyFill="1" applyBorder="1" applyAlignment="1">
      <alignment horizontal="center" vertical="center" wrapText="1"/>
    </xf>
    <xf numFmtId="0" fontId="8" fillId="4" borderId="1" xfId="0" applyFont="1" applyFill="1" applyBorder="1" applyAlignment="1">
      <alignment vertical="center" wrapText="1"/>
    </xf>
    <xf numFmtId="0" fontId="8" fillId="4" borderId="0" xfId="0" applyFont="1" applyFill="1" applyAlignment="1">
      <alignment vertical="center" wrapText="1"/>
    </xf>
    <xf numFmtId="21" fontId="7" fillId="4" borderId="1" xfId="0" applyNumberFormat="1" applyFont="1" applyFill="1" applyBorder="1" applyAlignment="1">
      <alignment horizontal="center" vertical="center" wrapText="1"/>
    </xf>
    <xf numFmtId="0" fontId="7" fillId="4" borderId="1" xfId="0" applyFont="1" applyFill="1" applyBorder="1" applyAlignment="1">
      <alignment vertical="center" wrapText="1"/>
    </xf>
    <xf numFmtId="0" fontId="7" fillId="4" borderId="0" xfId="0" applyFont="1" applyFill="1" applyAlignment="1">
      <alignment vertical="center" wrapText="1"/>
    </xf>
    <xf numFmtId="0" fontId="7" fillId="4" borderId="1" xfId="0" quotePrefix="1" applyFont="1" applyFill="1" applyBorder="1" applyAlignment="1">
      <alignment vertical="center" wrapText="1"/>
    </xf>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ySplit="1" topLeftCell="A2" activePane="bottomLeft" state="frozen"/>
      <selection pane="bottomLeft" activeCell="A4" sqref="A4"/>
    </sheetView>
  </sheetViews>
  <sheetFormatPr defaultRowHeight="60.75" customHeight="1" x14ac:dyDescent="0.35"/>
  <cols>
    <col min="1" max="1" width="13.453125" bestFit="1" customWidth="1"/>
    <col min="5" max="5" width="52.453125" customWidth="1"/>
  </cols>
  <sheetData>
    <row r="1" spans="1:5" s="2" customFormat="1" ht="60.75" customHeight="1" x14ac:dyDescent="0.35">
      <c r="A1" s="9" t="s">
        <v>0</v>
      </c>
      <c r="B1" s="9" t="s">
        <v>1</v>
      </c>
      <c r="C1" s="9" t="s">
        <v>2</v>
      </c>
      <c r="D1" s="9" t="s">
        <v>3</v>
      </c>
      <c r="E1" s="9" t="s">
        <v>35</v>
      </c>
    </row>
    <row r="2" spans="1:5" ht="60.75" customHeight="1" x14ac:dyDescent="0.35">
      <c r="A2" s="10" t="s">
        <v>20</v>
      </c>
      <c r="B2" s="11">
        <v>46082</v>
      </c>
      <c r="C2" s="11">
        <v>46087</v>
      </c>
      <c r="D2" s="10" t="s">
        <v>34</v>
      </c>
      <c r="E2" s="12" t="s">
        <v>36</v>
      </c>
    </row>
    <row r="3" spans="1:5" ht="119.25" customHeight="1" x14ac:dyDescent="0.35">
      <c r="A3" s="10" t="s">
        <v>21</v>
      </c>
      <c r="B3" s="11">
        <v>46082</v>
      </c>
      <c r="C3" s="11">
        <v>46087</v>
      </c>
      <c r="D3" s="10" t="s">
        <v>34</v>
      </c>
      <c r="E3" s="12"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6" sqref="C16"/>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zoomScaleNormal="100" workbookViewId="0">
      <selection activeCell="B3" sqref="B3"/>
    </sheetView>
  </sheetViews>
  <sheetFormatPr defaultRowHeight="14.5" x14ac:dyDescent="0.35"/>
  <cols>
    <col min="1" max="1" width="5.1796875" bestFit="1" customWidth="1"/>
    <col min="2" max="2" width="37.26953125" customWidth="1"/>
    <col min="3" max="3" width="88.54296875" customWidth="1"/>
  </cols>
  <sheetData>
    <row r="1" spans="1:3" ht="16" x14ac:dyDescent="0.45">
      <c r="A1" s="22" t="s">
        <v>111</v>
      </c>
      <c r="B1" s="22" t="s">
        <v>143</v>
      </c>
      <c r="C1" s="23" t="s">
        <v>112</v>
      </c>
    </row>
    <row r="2" spans="1:3" ht="80" x14ac:dyDescent="0.45">
      <c r="A2" s="23">
        <v>1</v>
      </c>
      <c r="B2" s="25" t="s">
        <v>109</v>
      </c>
      <c r="C2" s="25" t="s">
        <v>145</v>
      </c>
    </row>
    <row r="3" spans="1:3" ht="80" x14ac:dyDescent="0.35">
      <c r="A3" s="24">
        <v>2</v>
      </c>
      <c r="B3" s="24" t="s">
        <v>110</v>
      </c>
      <c r="C3" s="25" t="s">
        <v>144</v>
      </c>
    </row>
    <row r="4" spans="1:3" ht="64" x14ac:dyDescent="0.45">
      <c r="A4" s="23">
        <v>3</v>
      </c>
      <c r="B4" s="23" t="s">
        <v>113</v>
      </c>
      <c r="C4" s="26" t="s">
        <v>146</v>
      </c>
    </row>
    <row r="5" spans="1:3" ht="48" x14ac:dyDescent="0.45">
      <c r="A5" s="23">
        <v>4</v>
      </c>
      <c r="B5" s="23" t="s">
        <v>114</v>
      </c>
      <c r="C5" s="26" t="s">
        <v>147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zoomScale="90" zoomScaleNormal="90" workbookViewId="0">
      <pane ySplit="1" topLeftCell="A2" activePane="bottomLeft" state="frozen"/>
      <selection pane="bottomLeft" activeCell="G1" sqref="G1"/>
    </sheetView>
  </sheetViews>
  <sheetFormatPr defaultColWidth="9.1796875" defaultRowHeight="14.5" x14ac:dyDescent="0.35"/>
  <cols>
    <col min="1" max="1" width="14.26953125" style="28" bestFit="1" customWidth="1"/>
    <col min="2" max="2" width="16.54296875" style="32" customWidth="1"/>
    <col min="3" max="3" width="11.26953125" style="30" customWidth="1"/>
    <col min="4" max="4" width="11.1796875" style="20" customWidth="1"/>
    <col min="5" max="5" width="42.1796875" style="21" customWidth="1"/>
    <col min="6" max="6" width="56.7265625" style="21" customWidth="1"/>
    <col min="7" max="7" width="20.7265625" style="21" customWidth="1"/>
    <col min="8" max="8" width="17.453125" style="21" bestFit="1" customWidth="1"/>
    <col min="9" max="10" width="17.453125" style="21" customWidth="1"/>
    <col min="11" max="11" width="25.54296875" style="21" hidden="1" customWidth="1"/>
    <col min="12" max="12" width="21" style="21" hidden="1" customWidth="1"/>
    <col min="13" max="14" width="7" style="21" hidden="1" customWidth="1"/>
    <col min="15" max="15" width="10.453125" style="21" hidden="1" customWidth="1"/>
    <col min="16" max="16" width="54.453125" style="21" hidden="1" customWidth="1"/>
    <col min="17" max="16384" width="9.1796875" style="21"/>
  </cols>
  <sheetData>
    <row r="1" spans="1:16" s="20" customFormat="1" ht="49.5" x14ac:dyDescent="0.35">
      <c r="A1" s="33" t="s">
        <v>5</v>
      </c>
      <c r="B1" s="34" t="s">
        <v>148</v>
      </c>
      <c r="C1" s="33" t="s">
        <v>88</v>
      </c>
      <c r="D1" s="35" t="s">
        <v>89</v>
      </c>
      <c r="E1" s="35" t="s">
        <v>9</v>
      </c>
      <c r="F1" s="35" t="s">
        <v>10</v>
      </c>
      <c r="G1" s="35" t="s">
        <v>11</v>
      </c>
      <c r="H1" s="35" t="s">
        <v>12</v>
      </c>
      <c r="I1" s="35" t="s">
        <v>94</v>
      </c>
      <c r="J1" s="35" t="s">
        <v>90</v>
      </c>
      <c r="K1" s="36" t="s">
        <v>13</v>
      </c>
      <c r="L1" s="36" t="s">
        <v>14</v>
      </c>
      <c r="M1" s="36" t="s">
        <v>7</v>
      </c>
      <c r="N1" s="36" t="s">
        <v>6</v>
      </c>
      <c r="O1" s="36" t="s">
        <v>75</v>
      </c>
      <c r="P1" s="36" t="s">
        <v>4</v>
      </c>
    </row>
    <row r="2" spans="1:16" s="27" customFormat="1" ht="33" x14ac:dyDescent="0.35">
      <c r="A2" s="37">
        <v>46083</v>
      </c>
      <c r="B2" s="38"/>
      <c r="C2" s="39">
        <v>0.14583333333333334</v>
      </c>
      <c r="D2" s="39">
        <v>0.1875</v>
      </c>
      <c r="E2" s="40" t="s">
        <v>87</v>
      </c>
      <c r="F2" s="40" t="s">
        <v>104</v>
      </c>
      <c r="G2" s="40"/>
      <c r="H2" s="40"/>
      <c r="I2" s="40"/>
      <c r="J2" s="40"/>
      <c r="K2" s="41"/>
      <c r="L2" s="41"/>
      <c r="M2" s="41"/>
      <c r="N2" s="41"/>
      <c r="O2" s="41"/>
      <c r="P2" s="41"/>
    </row>
    <row r="3" spans="1:16" s="27" customFormat="1" ht="16.5" x14ac:dyDescent="0.35">
      <c r="A3" s="37">
        <v>46083</v>
      </c>
      <c r="B3" s="42">
        <v>2.0833333333333332E-2</v>
      </c>
      <c r="C3" s="39">
        <v>0.4375</v>
      </c>
      <c r="D3" s="39">
        <f>C3+B3</f>
        <v>0.45833333333333331</v>
      </c>
      <c r="E3" s="40" t="s">
        <v>38</v>
      </c>
      <c r="F3" s="40"/>
      <c r="G3" s="40"/>
      <c r="H3" s="40"/>
      <c r="I3" s="40"/>
      <c r="J3" s="40"/>
      <c r="K3" s="41"/>
      <c r="L3" s="41"/>
      <c r="M3" s="41"/>
      <c r="N3" s="41"/>
      <c r="O3" s="41"/>
      <c r="P3" s="41"/>
    </row>
    <row r="4" spans="1:16" ht="49.5" x14ac:dyDescent="0.35">
      <c r="A4" s="37">
        <v>46083</v>
      </c>
      <c r="B4" s="42">
        <v>2.0833333333333332E-2</v>
      </c>
      <c r="C4" s="39">
        <f>D3</f>
        <v>0.45833333333333331</v>
      </c>
      <c r="D4" s="39">
        <f t="shared" ref="D4:D27" si="0">C4+B4</f>
        <v>0.47916666666666663</v>
      </c>
      <c r="E4" s="43" t="s">
        <v>39</v>
      </c>
      <c r="F4" s="43" t="s">
        <v>106</v>
      </c>
      <c r="G4" s="43" t="s">
        <v>102</v>
      </c>
      <c r="H4" s="43" t="s">
        <v>22</v>
      </c>
      <c r="I4" s="43"/>
      <c r="J4" s="43"/>
      <c r="K4" s="44" t="s">
        <v>42</v>
      </c>
      <c r="L4" s="44" t="s">
        <v>64</v>
      </c>
      <c r="M4" s="44" t="s">
        <v>41</v>
      </c>
      <c r="N4" s="44"/>
      <c r="O4" s="44"/>
      <c r="P4" s="44"/>
    </row>
    <row r="5" spans="1:16" ht="33" x14ac:dyDescent="0.35">
      <c r="A5" s="37">
        <v>46083</v>
      </c>
      <c r="B5" s="42">
        <v>2.0833333333333332E-2</v>
      </c>
      <c r="C5" s="39">
        <f t="shared" ref="C5:C10" si="1">D4</f>
        <v>0.47916666666666663</v>
      </c>
      <c r="D5" s="39">
        <f t="shared" si="0"/>
        <v>0.49999999999999994</v>
      </c>
      <c r="E5" s="43" t="s">
        <v>100</v>
      </c>
      <c r="F5" s="45" t="s">
        <v>101</v>
      </c>
      <c r="G5" s="43" t="s">
        <v>93</v>
      </c>
      <c r="H5" s="43" t="s">
        <v>22</v>
      </c>
      <c r="I5" s="43"/>
      <c r="J5" s="43"/>
      <c r="K5" s="44" t="s">
        <v>45</v>
      </c>
      <c r="L5" s="44"/>
      <c r="M5" s="44" t="s">
        <v>41</v>
      </c>
      <c r="N5" s="44"/>
      <c r="O5" s="44"/>
      <c r="P5" s="44"/>
    </row>
    <row r="6" spans="1:16" ht="33" x14ac:dyDescent="0.35">
      <c r="A6" s="37">
        <v>46083</v>
      </c>
      <c r="B6" s="42">
        <v>2.0833333333333332E-2</v>
      </c>
      <c r="C6" s="39">
        <f t="shared" si="1"/>
        <v>0.49999999999999994</v>
      </c>
      <c r="D6" s="39">
        <f t="shared" si="0"/>
        <v>0.52083333333333326</v>
      </c>
      <c r="E6" s="43" t="s">
        <v>92</v>
      </c>
      <c r="F6" s="45" t="s">
        <v>91</v>
      </c>
      <c r="G6" s="43" t="s">
        <v>116</v>
      </c>
      <c r="H6" s="43" t="s">
        <v>22</v>
      </c>
      <c r="I6" s="43"/>
      <c r="J6" s="43"/>
      <c r="K6" s="44" t="s">
        <v>60</v>
      </c>
      <c r="L6" s="44"/>
      <c r="M6" s="44" t="s">
        <v>41</v>
      </c>
      <c r="N6" s="44"/>
      <c r="O6" s="44"/>
      <c r="P6" s="44"/>
    </row>
    <row r="7" spans="1:16" ht="16.5" x14ac:dyDescent="0.35">
      <c r="A7" s="37">
        <v>46083</v>
      </c>
      <c r="B7" s="42">
        <v>4.1666666666666664E-2</v>
      </c>
      <c r="C7" s="39">
        <f t="shared" si="1"/>
        <v>0.52083333333333326</v>
      </c>
      <c r="D7" s="39">
        <f t="shared" si="0"/>
        <v>0.56249999999999989</v>
      </c>
      <c r="E7" s="43" t="s">
        <v>51</v>
      </c>
      <c r="F7" s="43" t="s">
        <v>105</v>
      </c>
      <c r="G7" s="43" t="s">
        <v>116</v>
      </c>
      <c r="H7" s="43" t="s">
        <v>22</v>
      </c>
      <c r="I7" s="43"/>
      <c r="J7" s="43"/>
      <c r="K7" s="44"/>
      <c r="L7" s="44"/>
      <c r="M7" s="44"/>
      <c r="N7" s="44"/>
      <c r="O7" s="44"/>
      <c r="P7" s="44"/>
    </row>
    <row r="8" spans="1:16" ht="47.25" customHeight="1" x14ac:dyDescent="0.35">
      <c r="A8" s="37">
        <v>46083</v>
      </c>
      <c r="B8" s="42">
        <v>4.1666666666666664E-2</v>
      </c>
      <c r="C8" s="39">
        <f t="shared" si="1"/>
        <v>0.56249999999999989</v>
      </c>
      <c r="D8" s="39">
        <f t="shared" si="0"/>
        <v>0.60416666666666652</v>
      </c>
      <c r="E8" s="43" t="s">
        <v>136</v>
      </c>
      <c r="F8" s="45" t="s">
        <v>120</v>
      </c>
      <c r="G8" s="43" t="s">
        <v>134</v>
      </c>
      <c r="H8" s="43" t="s">
        <v>22</v>
      </c>
      <c r="I8" s="43"/>
      <c r="J8" s="43"/>
      <c r="K8" s="44"/>
      <c r="L8" s="44"/>
      <c r="M8" s="44"/>
      <c r="N8" s="44"/>
      <c r="O8" s="44"/>
      <c r="P8" s="44"/>
    </row>
    <row r="9" spans="1:16" ht="82.5" x14ac:dyDescent="0.35">
      <c r="A9" s="37">
        <v>46083</v>
      </c>
      <c r="B9" s="42">
        <v>2.0833333333333332E-2</v>
      </c>
      <c r="C9" s="39">
        <f t="shared" si="1"/>
        <v>0.60416666666666652</v>
      </c>
      <c r="D9" s="39">
        <f t="shared" si="0"/>
        <v>0.62499999999999989</v>
      </c>
      <c r="E9" s="43" t="s">
        <v>121</v>
      </c>
      <c r="F9" s="43" t="s">
        <v>122</v>
      </c>
      <c r="G9" s="43" t="s">
        <v>117</v>
      </c>
      <c r="H9" s="43" t="s">
        <v>22</v>
      </c>
      <c r="I9" s="43"/>
      <c r="J9" s="43"/>
      <c r="K9" s="44"/>
      <c r="L9" s="44"/>
      <c r="M9" s="44"/>
      <c r="N9" s="44"/>
      <c r="O9" s="44"/>
      <c r="P9" s="44"/>
    </row>
    <row r="10" spans="1:16" ht="66" x14ac:dyDescent="0.35">
      <c r="A10" s="37">
        <v>46083</v>
      </c>
      <c r="B10" s="42">
        <v>6.25E-2</v>
      </c>
      <c r="C10" s="39">
        <f t="shared" si="1"/>
        <v>0.62499999999999989</v>
      </c>
      <c r="D10" s="39">
        <f t="shared" si="0"/>
        <v>0.68749999999999989</v>
      </c>
      <c r="E10" s="43" t="s">
        <v>123</v>
      </c>
      <c r="F10" s="45" t="s">
        <v>124</v>
      </c>
      <c r="G10" s="43"/>
      <c r="H10" s="43" t="s">
        <v>22</v>
      </c>
      <c r="I10" s="43"/>
      <c r="J10" s="43"/>
      <c r="K10" s="44"/>
      <c r="L10" s="44"/>
      <c r="M10" s="44"/>
      <c r="N10" s="44"/>
      <c r="O10" s="44"/>
      <c r="P10" s="44"/>
    </row>
    <row r="11" spans="1:16" ht="82.5" x14ac:dyDescent="0.35">
      <c r="A11" s="37">
        <v>46083</v>
      </c>
      <c r="B11" s="42">
        <v>0.10416666666666667</v>
      </c>
      <c r="C11" s="39">
        <f>D10</f>
        <v>0.68749999999999989</v>
      </c>
      <c r="D11" s="39">
        <f t="shared" si="0"/>
        <v>0.79166666666666652</v>
      </c>
      <c r="E11" s="43" t="s">
        <v>23</v>
      </c>
      <c r="F11" s="45" t="s">
        <v>125</v>
      </c>
      <c r="G11" s="43"/>
      <c r="H11" s="43"/>
      <c r="I11" s="43"/>
      <c r="J11" s="43"/>
      <c r="K11" s="44"/>
      <c r="L11" s="44"/>
      <c r="M11" s="44"/>
      <c r="N11" s="44"/>
      <c r="O11" s="44"/>
      <c r="P11" s="44"/>
    </row>
    <row r="12" spans="1:16" ht="16.5" x14ac:dyDescent="0.35">
      <c r="A12" s="37">
        <v>46083</v>
      </c>
      <c r="B12" s="42">
        <v>4.1666666666666664E-2</v>
      </c>
      <c r="C12" s="39">
        <f>D11</f>
        <v>0.79166666666666652</v>
      </c>
      <c r="D12" s="39">
        <f t="shared" si="0"/>
        <v>0.83333333333333315</v>
      </c>
      <c r="E12" s="43" t="s">
        <v>141</v>
      </c>
      <c r="F12" s="43" t="s">
        <v>140</v>
      </c>
      <c r="G12" s="43" t="s">
        <v>119</v>
      </c>
      <c r="H12" s="43" t="s">
        <v>22</v>
      </c>
      <c r="I12" s="43"/>
      <c r="J12" s="43"/>
      <c r="K12" s="44"/>
      <c r="L12" s="44"/>
      <c r="M12" s="44"/>
      <c r="N12" s="44"/>
      <c r="O12" s="44"/>
      <c r="P12" s="44"/>
    </row>
    <row r="13" spans="1:16" ht="21" customHeight="1" x14ac:dyDescent="0.35">
      <c r="A13" s="37">
        <v>46084</v>
      </c>
      <c r="B13" s="42">
        <v>2.0833333333333332E-2</v>
      </c>
      <c r="C13" s="39">
        <v>0.39583333333333331</v>
      </c>
      <c r="D13" s="39">
        <f t="shared" si="0"/>
        <v>0.41666666666666663</v>
      </c>
      <c r="E13" s="40" t="s">
        <v>38</v>
      </c>
      <c r="F13" s="45"/>
      <c r="G13" s="43"/>
      <c r="H13" s="43" t="s">
        <v>22</v>
      </c>
      <c r="I13" s="43"/>
      <c r="J13" s="43"/>
      <c r="K13" s="44"/>
      <c r="L13" s="44"/>
      <c r="M13" s="44"/>
      <c r="N13" s="44"/>
      <c r="O13" s="44"/>
      <c r="P13" s="44"/>
    </row>
    <row r="14" spans="1:16" ht="75" customHeight="1" x14ac:dyDescent="0.35">
      <c r="A14" s="37">
        <v>46084</v>
      </c>
      <c r="B14" s="42">
        <v>3.125E-2</v>
      </c>
      <c r="C14" s="39">
        <f>D13</f>
        <v>0.41666666666666663</v>
      </c>
      <c r="D14" s="39">
        <f t="shared" si="0"/>
        <v>0.44791666666666663</v>
      </c>
      <c r="E14" s="43" t="s">
        <v>107</v>
      </c>
      <c r="F14" s="43" t="s">
        <v>126</v>
      </c>
      <c r="G14" s="43" t="s">
        <v>99</v>
      </c>
      <c r="H14" s="43" t="s">
        <v>22</v>
      </c>
      <c r="I14" s="43"/>
      <c r="J14" s="43"/>
      <c r="K14" s="44"/>
      <c r="L14" s="44"/>
      <c r="M14" s="44"/>
      <c r="N14" s="44"/>
      <c r="O14" s="44"/>
      <c r="P14" s="44"/>
    </row>
    <row r="15" spans="1:16" ht="33" x14ac:dyDescent="0.35">
      <c r="A15" s="37">
        <v>46084</v>
      </c>
      <c r="B15" s="42">
        <v>3.125E-2</v>
      </c>
      <c r="C15" s="39">
        <f t="shared" ref="C15:C27" si="2">D14</f>
        <v>0.44791666666666663</v>
      </c>
      <c r="D15" s="39">
        <f t="shared" si="0"/>
        <v>0.47916666666666663</v>
      </c>
      <c r="E15" s="43" t="s">
        <v>128</v>
      </c>
      <c r="F15" s="43" t="s">
        <v>129</v>
      </c>
      <c r="G15" s="43" t="s">
        <v>133</v>
      </c>
      <c r="H15" s="43" t="s">
        <v>22</v>
      </c>
      <c r="I15" s="43"/>
      <c r="J15" s="43"/>
      <c r="K15" s="44"/>
      <c r="L15" s="44"/>
      <c r="M15" s="44"/>
      <c r="N15" s="44"/>
      <c r="O15" s="44"/>
      <c r="P15" s="44"/>
    </row>
    <row r="16" spans="1:16" ht="33" x14ac:dyDescent="0.35">
      <c r="A16" s="37">
        <v>46084</v>
      </c>
      <c r="B16" s="42">
        <v>3.125E-2</v>
      </c>
      <c r="C16" s="39">
        <f t="shared" si="2"/>
        <v>0.47916666666666663</v>
      </c>
      <c r="D16" s="39">
        <f t="shared" si="0"/>
        <v>0.51041666666666663</v>
      </c>
      <c r="E16" s="43" t="s">
        <v>149</v>
      </c>
      <c r="F16" s="43"/>
      <c r="G16" s="43"/>
      <c r="H16" s="43"/>
      <c r="I16" s="43"/>
      <c r="J16" s="43"/>
      <c r="K16" s="44"/>
      <c r="L16" s="44"/>
      <c r="M16" s="44"/>
      <c r="N16" s="44"/>
      <c r="O16" s="44"/>
      <c r="P16" s="44"/>
    </row>
    <row r="17" spans="1:16" ht="45.75" customHeight="1" x14ac:dyDescent="0.35">
      <c r="A17" s="37">
        <v>46084</v>
      </c>
      <c r="B17" s="42">
        <v>3.125E-2</v>
      </c>
      <c r="C17" s="39">
        <f t="shared" si="2"/>
        <v>0.51041666666666663</v>
      </c>
      <c r="D17" s="39">
        <f t="shared" si="0"/>
        <v>0.54166666666666663</v>
      </c>
      <c r="E17" s="43" t="s">
        <v>142</v>
      </c>
      <c r="F17" s="43" t="s">
        <v>127</v>
      </c>
      <c r="G17" s="43" t="s">
        <v>98</v>
      </c>
      <c r="H17" s="43" t="s">
        <v>22</v>
      </c>
      <c r="I17" s="43"/>
      <c r="J17" s="43"/>
      <c r="K17" s="44"/>
      <c r="L17" s="44"/>
      <c r="M17" s="44"/>
      <c r="N17" s="44"/>
      <c r="O17" s="44"/>
      <c r="P17" s="44"/>
    </row>
    <row r="18" spans="1:16" ht="16.5" customHeight="1" x14ac:dyDescent="0.35">
      <c r="A18" s="37">
        <v>46084</v>
      </c>
      <c r="B18" s="42">
        <v>4.1666666666666664E-2</v>
      </c>
      <c r="C18" s="39">
        <f t="shared" ref="C18:C26" si="3">D17</f>
        <v>0.54166666666666663</v>
      </c>
      <c r="D18" s="39">
        <f t="shared" si="0"/>
        <v>0.58333333333333326</v>
      </c>
      <c r="E18" s="43" t="s">
        <v>51</v>
      </c>
      <c r="F18" s="43" t="s">
        <v>105</v>
      </c>
      <c r="G18" s="43"/>
      <c r="H18" s="43"/>
      <c r="I18" s="43"/>
      <c r="J18" s="43"/>
      <c r="K18" s="44"/>
      <c r="L18" s="44"/>
      <c r="M18" s="44"/>
      <c r="N18" s="44"/>
      <c r="O18" s="44"/>
      <c r="P18" s="44"/>
    </row>
    <row r="19" spans="1:16" ht="16.5" x14ac:dyDescent="0.35">
      <c r="A19" s="37">
        <v>46084</v>
      </c>
      <c r="B19" s="42">
        <v>3.125E-2</v>
      </c>
      <c r="C19" s="39">
        <f t="shared" si="3"/>
        <v>0.58333333333333326</v>
      </c>
      <c r="D19" s="39">
        <f>C19+B19</f>
        <v>0.61458333333333326</v>
      </c>
      <c r="E19" s="43" t="s">
        <v>138</v>
      </c>
      <c r="F19" s="45"/>
      <c r="G19" s="43"/>
      <c r="H19" s="43" t="s">
        <v>22</v>
      </c>
      <c r="I19" s="43"/>
      <c r="J19" s="43"/>
      <c r="K19" s="44"/>
      <c r="L19" s="44"/>
      <c r="M19" s="44"/>
      <c r="N19" s="44"/>
      <c r="O19" s="44"/>
      <c r="P19" s="44"/>
    </row>
    <row r="20" spans="1:16" ht="33" x14ac:dyDescent="0.35">
      <c r="A20" s="37">
        <v>46084</v>
      </c>
      <c r="B20" s="42">
        <v>3.125E-2</v>
      </c>
      <c r="C20" s="39">
        <f t="shared" si="3"/>
        <v>0.61458333333333326</v>
      </c>
      <c r="D20" s="39">
        <f t="shared" si="0"/>
        <v>0.64583333333333326</v>
      </c>
      <c r="E20" s="43" t="s">
        <v>135</v>
      </c>
      <c r="F20" s="45" t="s">
        <v>131</v>
      </c>
      <c r="G20" s="43" t="s">
        <v>132</v>
      </c>
      <c r="H20" s="43" t="s">
        <v>22</v>
      </c>
      <c r="I20" s="43"/>
      <c r="J20" s="43"/>
      <c r="K20" s="44"/>
      <c r="L20" s="44"/>
      <c r="M20" s="44"/>
      <c r="N20" s="44"/>
      <c r="O20" s="44"/>
      <c r="P20" s="44"/>
    </row>
    <row r="21" spans="1:16" ht="19.5" customHeight="1" x14ac:dyDescent="0.35">
      <c r="A21" s="37">
        <v>46084</v>
      </c>
      <c r="B21" s="42">
        <v>1.0416666666666666E-2</v>
      </c>
      <c r="C21" s="39">
        <f t="shared" si="3"/>
        <v>0.64583333333333326</v>
      </c>
      <c r="D21" s="39">
        <f t="shared" ref="D21" si="4">C21+B21</f>
        <v>0.65624999999999989</v>
      </c>
      <c r="E21" s="43" t="s">
        <v>130</v>
      </c>
      <c r="F21" s="43"/>
      <c r="G21" s="43"/>
      <c r="H21" s="43"/>
      <c r="I21" s="43"/>
      <c r="J21" s="43"/>
      <c r="K21" s="44"/>
      <c r="L21" s="44"/>
      <c r="M21" s="44"/>
      <c r="N21" s="44"/>
      <c r="O21" s="44"/>
      <c r="P21" s="44"/>
    </row>
    <row r="22" spans="1:16" ht="16.5" x14ac:dyDescent="0.35">
      <c r="A22" s="37">
        <v>46084</v>
      </c>
      <c r="B22" s="42">
        <v>2.0833333333333332E-2</v>
      </c>
      <c r="C22" s="39">
        <f t="shared" si="3"/>
        <v>0.65624999999999989</v>
      </c>
      <c r="D22" s="39">
        <f t="shared" ref="D22" si="5">C22+B22</f>
        <v>0.67708333333333326</v>
      </c>
      <c r="E22" s="43" t="s">
        <v>139</v>
      </c>
      <c r="F22" s="45"/>
      <c r="G22" s="43" t="s">
        <v>132</v>
      </c>
      <c r="H22" s="43" t="s">
        <v>22</v>
      </c>
      <c r="I22" s="43"/>
      <c r="J22" s="43"/>
      <c r="K22" s="44"/>
      <c r="L22" s="44"/>
      <c r="M22" s="44"/>
      <c r="N22" s="44"/>
      <c r="O22" s="44"/>
      <c r="P22" s="44"/>
    </row>
    <row r="23" spans="1:16" ht="32.25" customHeight="1" x14ac:dyDescent="0.35">
      <c r="A23" s="37">
        <v>46084</v>
      </c>
      <c r="B23" s="42">
        <v>3.125E-2</v>
      </c>
      <c r="C23" s="39">
        <f t="shared" si="3"/>
        <v>0.67708333333333326</v>
      </c>
      <c r="D23" s="39">
        <f t="shared" si="0"/>
        <v>0.70833333333333326</v>
      </c>
      <c r="E23" s="43" t="s">
        <v>95</v>
      </c>
      <c r="F23" s="43" t="s">
        <v>96</v>
      </c>
      <c r="G23" s="43" t="s">
        <v>132</v>
      </c>
      <c r="H23" s="43" t="s">
        <v>22</v>
      </c>
      <c r="I23" s="43"/>
      <c r="J23" s="43"/>
      <c r="K23" s="44"/>
      <c r="L23" s="44"/>
      <c r="M23" s="44"/>
      <c r="N23" s="44"/>
      <c r="O23" s="44"/>
      <c r="P23" s="44"/>
    </row>
    <row r="24" spans="1:16" ht="30.75" customHeight="1" x14ac:dyDescent="0.35">
      <c r="A24" s="37">
        <v>46084</v>
      </c>
      <c r="B24" s="42">
        <v>3.125E-2</v>
      </c>
      <c r="C24" s="39">
        <f t="shared" si="3"/>
        <v>0.70833333333333326</v>
      </c>
      <c r="D24" s="39">
        <f t="shared" si="0"/>
        <v>0.73958333333333326</v>
      </c>
      <c r="E24" s="43" t="s">
        <v>97</v>
      </c>
      <c r="F24" s="43" t="s">
        <v>137</v>
      </c>
      <c r="G24" s="43" t="s">
        <v>132</v>
      </c>
      <c r="H24" s="43" t="s">
        <v>22</v>
      </c>
      <c r="I24" s="43"/>
      <c r="J24" s="43"/>
      <c r="K24" s="44"/>
      <c r="L24" s="44"/>
      <c r="M24" s="44"/>
      <c r="N24" s="44"/>
      <c r="O24" s="44"/>
      <c r="P24" s="44"/>
    </row>
    <row r="25" spans="1:16" ht="21" customHeight="1" x14ac:dyDescent="0.35">
      <c r="A25" s="37">
        <v>46084</v>
      </c>
      <c r="B25" s="42">
        <v>3.125E-2</v>
      </c>
      <c r="C25" s="39">
        <f t="shared" si="3"/>
        <v>0.73958333333333326</v>
      </c>
      <c r="D25" s="39">
        <f t="shared" si="0"/>
        <v>0.77083333333333326</v>
      </c>
      <c r="E25" s="43" t="s">
        <v>103</v>
      </c>
      <c r="F25" s="43"/>
      <c r="G25" s="43" t="s">
        <v>118</v>
      </c>
      <c r="H25" s="43" t="s">
        <v>22</v>
      </c>
      <c r="I25" s="43"/>
      <c r="J25" s="43"/>
      <c r="K25" s="44" t="s">
        <v>53</v>
      </c>
      <c r="L25" s="44"/>
      <c r="M25" s="44"/>
      <c r="N25" s="44"/>
      <c r="O25" s="44"/>
      <c r="P25" s="44"/>
    </row>
    <row r="26" spans="1:16" ht="16.5" customHeight="1" x14ac:dyDescent="0.35">
      <c r="A26" s="37">
        <v>46084</v>
      </c>
      <c r="B26" s="42">
        <v>6.25E-2</v>
      </c>
      <c r="C26" s="39">
        <f t="shared" si="3"/>
        <v>0.77083333333333326</v>
      </c>
      <c r="D26" s="39">
        <f t="shared" si="0"/>
        <v>0.83333333333333326</v>
      </c>
      <c r="E26" s="43" t="s">
        <v>115</v>
      </c>
      <c r="F26" s="43"/>
      <c r="G26" s="43" t="s">
        <v>118</v>
      </c>
      <c r="H26" s="43" t="s">
        <v>22</v>
      </c>
      <c r="I26" s="43"/>
      <c r="J26" s="43"/>
      <c r="K26" s="44" t="s">
        <v>53</v>
      </c>
      <c r="L26" s="44"/>
      <c r="M26" s="44"/>
      <c r="N26" s="44"/>
      <c r="O26" s="44"/>
      <c r="P26" s="44"/>
    </row>
    <row r="27" spans="1:16" ht="14.25" customHeight="1" x14ac:dyDescent="0.35">
      <c r="A27" s="37">
        <v>46084</v>
      </c>
      <c r="B27" s="42">
        <v>4.1666666666666664E-2</v>
      </c>
      <c r="C27" s="39">
        <f t="shared" si="2"/>
        <v>0.83333333333333326</v>
      </c>
      <c r="D27" s="39">
        <f t="shared" si="0"/>
        <v>0.87499999999999989</v>
      </c>
      <c r="E27" s="43" t="s">
        <v>108</v>
      </c>
      <c r="F27" s="43"/>
      <c r="G27" s="43" t="s">
        <v>118</v>
      </c>
      <c r="H27" s="43" t="s">
        <v>22</v>
      </c>
      <c r="I27" s="43"/>
      <c r="J27" s="43"/>
      <c r="K27" s="44" t="s">
        <v>53</v>
      </c>
      <c r="L27" s="44"/>
      <c r="M27" s="44"/>
      <c r="N27" s="44"/>
      <c r="O27" s="44"/>
      <c r="P27" s="44"/>
    </row>
    <row r="28" spans="1:16" x14ac:dyDescent="0.35">
      <c r="B28" s="29"/>
    </row>
    <row r="29" spans="1:16" x14ac:dyDescent="0.35">
      <c r="B29" s="29"/>
    </row>
    <row r="30" spans="1:16" x14ac:dyDescent="0.35">
      <c r="B30" s="29"/>
    </row>
    <row r="31" spans="1:16" x14ac:dyDescent="0.35">
      <c r="B31" s="29"/>
    </row>
    <row r="32" spans="1:16" x14ac:dyDescent="0.35">
      <c r="B32" s="29"/>
    </row>
    <row r="33" spans="2:2" x14ac:dyDescent="0.35">
      <c r="B33" s="29"/>
    </row>
    <row r="34" spans="2:2" x14ac:dyDescent="0.35">
      <c r="B34" s="29"/>
    </row>
    <row r="35" spans="2:2" x14ac:dyDescent="0.35">
      <c r="B35" s="31"/>
    </row>
  </sheetData>
  <dataValidations count="1">
    <dataValidation type="list" allowBlank="1" sqref="P28:P162 S4:S20 S21:S62">
      <formula1>"Planned,In Progress,Completed"</formula1>
    </dataValidation>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tabSelected="1" workbookViewId="0">
      <selection activeCell="B2" sqref="B2"/>
    </sheetView>
  </sheetViews>
  <sheetFormatPr defaultRowHeight="14.5" x14ac:dyDescent="0.35"/>
  <cols>
    <col min="1" max="1" width="22.08984375" bestFit="1" customWidth="1"/>
    <col min="2" max="2" width="57.08984375" bestFit="1" customWidth="1"/>
  </cols>
  <sheetData>
    <row r="1" spans="1:2" x14ac:dyDescent="0.35">
      <c r="A1" s="46" t="s">
        <v>150</v>
      </c>
      <c r="B1" s="46" t="s">
        <v>151</v>
      </c>
    </row>
    <row r="2" spans="1:2" x14ac:dyDescent="0.35">
      <c r="A2" t="s">
        <v>152</v>
      </c>
      <c r="B2"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1" topLeftCell="A2" activePane="bottomLeft" state="frozen"/>
      <selection pane="bottomLeft" activeCell="F17" sqref="F17"/>
    </sheetView>
  </sheetViews>
  <sheetFormatPr defaultRowHeight="14.5" x14ac:dyDescent="0.35"/>
  <cols>
    <col min="1" max="1" width="10.7265625" customWidth="1"/>
    <col min="2" max="2" width="13.81640625" bestFit="1" customWidth="1"/>
    <col min="5" max="5" width="16.1796875" bestFit="1" customWidth="1"/>
    <col min="6" max="6" width="13.7265625" bestFit="1" customWidth="1"/>
    <col min="7" max="7" width="6.453125" bestFit="1" customWidth="1"/>
    <col min="8" max="8" width="8.54296875" bestFit="1" customWidth="1"/>
  </cols>
  <sheetData>
    <row r="1" spans="1:8" x14ac:dyDescent="0.35">
      <c r="A1" s="1" t="s">
        <v>15</v>
      </c>
      <c r="B1" s="1" t="s">
        <v>16</v>
      </c>
      <c r="C1" s="1" t="s">
        <v>5</v>
      </c>
      <c r="D1" s="1" t="s">
        <v>17</v>
      </c>
      <c r="E1" s="1" t="s">
        <v>18</v>
      </c>
      <c r="F1" s="1" t="s">
        <v>19</v>
      </c>
      <c r="G1" s="1" t="s">
        <v>8</v>
      </c>
      <c r="H1" s="1" t="s">
        <v>4</v>
      </c>
    </row>
    <row r="2" spans="1:8" x14ac:dyDescent="0.35">
      <c r="A2" t="s">
        <v>76</v>
      </c>
      <c r="B2" t="s">
        <v>80</v>
      </c>
    </row>
    <row r="3" spans="1:8" x14ac:dyDescent="0.35">
      <c r="A3" t="s">
        <v>77</v>
      </c>
      <c r="B3" t="s">
        <v>81</v>
      </c>
    </row>
    <row r="4" spans="1:8" x14ac:dyDescent="0.35">
      <c r="A4" t="s">
        <v>78</v>
      </c>
      <c r="B4" t="s">
        <v>82</v>
      </c>
      <c r="C4" s="13">
        <v>46084</v>
      </c>
    </row>
    <row r="5" spans="1:8" x14ac:dyDescent="0.35">
      <c r="A5" t="s">
        <v>78</v>
      </c>
      <c r="B5" t="s">
        <v>82</v>
      </c>
      <c r="C5" s="13">
        <v>46085</v>
      </c>
    </row>
    <row r="6" spans="1:8" x14ac:dyDescent="0.35">
      <c r="A6" t="s">
        <v>79</v>
      </c>
      <c r="B6" t="s">
        <v>84</v>
      </c>
    </row>
    <row r="7" spans="1:8" x14ac:dyDescent="0.35">
      <c r="A7" t="s">
        <v>79</v>
      </c>
      <c r="B7" t="s">
        <v>85</v>
      </c>
    </row>
    <row r="8" spans="1:8" x14ac:dyDescent="0.35">
      <c r="A8" t="s">
        <v>79</v>
      </c>
      <c r="B8" t="s">
        <v>86</v>
      </c>
    </row>
  </sheetData>
  <dataValidations count="2">
    <dataValidation type="list" allowBlank="1" sqref="L2:L99 I2:I199">
      <formula1>"Planned,In Progress,Completed"</formula1>
    </dataValidation>
    <dataValidation type="list" allowBlank="1" sqref="A2:A199">
      <formula1>"Travel,Hotel,Transport,Meals,Security,Office"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zoomScale="90" zoomScaleNormal="90" workbookViewId="0">
      <pane ySplit="1" topLeftCell="A5" activePane="bottomLeft" state="frozen"/>
      <selection pane="bottomLeft" activeCell="D9" sqref="D9"/>
    </sheetView>
  </sheetViews>
  <sheetFormatPr defaultColWidth="9.1796875" defaultRowHeight="14.5" x14ac:dyDescent="0.35"/>
  <cols>
    <col min="1" max="1" width="14.54296875" style="18" bestFit="1" customWidth="1"/>
    <col min="2" max="2" width="12.26953125" style="17" customWidth="1"/>
    <col min="3" max="3" width="11.1796875" style="17" customWidth="1"/>
    <col min="4" max="4" width="36.453125" style="3" customWidth="1"/>
    <col min="5" max="5" width="42.81640625" style="3" customWidth="1"/>
    <col min="6" max="6" width="9.7265625" style="3" bestFit="1" customWidth="1"/>
    <col min="7" max="7" width="17.453125" style="3" bestFit="1" customWidth="1"/>
    <col min="8" max="8" width="17.453125" style="3" customWidth="1"/>
    <col min="9" max="9" width="25.54296875" style="3" customWidth="1"/>
    <col min="10" max="10" width="21" style="3" customWidth="1"/>
    <col min="11" max="11" width="7" style="3" bestFit="1" customWidth="1"/>
    <col min="12" max="12" width="7" style="3" customWidth="1"/>
    <col min="13" max="13" width="10.453125" style="3" customWidth="1"/>
    <col min="14" max="14" width="54.453125" style="3" customWidth="1"/>
    <col min="15" max="16384" width="9.1796875" style="3"/>
  </cols>
  <sheetData>
    <row r="1" spans="1:14" ht="29" x14ac:dyDescent="0.35">
      <c r="B1" s="14" t="s">
        <v>88</v>
      </c>
      <c r="C1" s="14" t="s">
        <v>89</v>
      </c>
      <c r="D1" s="4" t="s">
        <v>9</v>
      </c>
      <c r="E1" s="4" t="s">
        <v>10</v>
      </c>
      <c r="F1" s="4" t="s">
        <v>11</v>
      </c>
      <c r="G1" s="4" t="s">
        <v>12</v>
      </c>
      <c r="H1" s="4" t="s">
        <v>90</v>
      </c>
      <c r="I1" s="4" t="s">
        <v>13</v>
      </c>
      <c r="J1" s="4" t="s">
        <v>14</v>
      </c>
      <c r="K1" s="4" t="s">
        <v>7</v>
      </c>
      <c r="L1" s="4" t="s">
        <v>6</v>
      </c>
      <c r="M1" s="4" t="s">
        <v>75</v>
      </c>
      <c r="N1" s="6" t="s">
        <v>4</v>
      </c>
    </row>
    <row r="2" spans="1:14" s="8" customFormat="1" x14ac:dyDescent="0.35">
      <c r="A2" s="19">
        <v>46083</v>
      </c>
      <c r="B2" s="15"/>
      <c r="C2" s="15"/>
      <c r="D2" s="7" t="s">
        <v>87</v>
      </c>
      <c r="E2" s="7"/>
      <c r="F2" s="7"/>
      <c r="G2" s="7"/>
      <c r="H2" s="7"/>
      <c r="I2" s="7"/>
      <c r="J2" s="7"/>
      <c r="K2" s="7"/>
      <c r="L2" s="7"/>
      <c r="M2" s="7"/>
      <c r="N2" s="7"/>
    </row>
    <row r="3" spans="1:14" s="8" customFormat="1" x14ac:dyDescent="0.35">
      <c r="A3" s="19">
        <v>46083</v>
      </c>
      <c r="B3" s="15"/>
      <c r="C3" s="15"/>
      <c r="D3" s="7" t="s">
        <v>38</v>
      </c>
      <c r="E3" s="7"/>
      <c r="F3" s="7"/>
      <c r="G3" s="7"/>
      <c r="H3" s="7"/>
      <c r="I3" s="7"/>
      <c r="J3" s="7"/>
      <c r="K3" s="7"/>
      <c r="L3" s="7"/>
      <c r="M3" s="7"/>
      <c r="N3" s="7"/>
    </row>
    <row r="4" spans="1:14" ht="29" x14ac:dyDescent="0.35">
      <c r="A4" s="18">
        <v>46083</v>
      </c>
      <c r="B4" s="16">
        <v>0.60416666666666663</v>
      </c>
      <c r="C4" s="16"/>
      <c r="D4" s="3" t="s">
        <v>39</v>
      </c>
      <c r="E4" s="3" t="s">
        <v>43</v>
      </c>
      <c r="F4" s="3" t="s">
        <v>41</v>
      </c>
      <c r="G4" s="3" t="s">
        <v>22</v>
      </c>
      <c r="I4" s="3" t="s">
        <v>42</v>
      </c>
      <c r="J4" s="3" t="s">
        <v>64</v>
      </c>
      <c r="K4" s="3" t="s">
        <v>41</v>
      </c>
    </row>
    <row r="5" spans="1:14" ht="29" x14ac:dyDescent="0.35">
      <c r="A5" s="18">
        <v>46083</v>
      </c>
      <c r="B5" s="16">
        <v>0.625</v>
      </c>
      <c r="C5" s="16"/>
      <c r="D5" s="3" t="s">
        <v>66</v>
      </c>
      <c r="E5" s="3" t="s">
        <v>65</v>
      </c>
      <c r="G5" s="3" t="s">
        <v>22</v>
      </c>
      <c r="I5" s="3" t="s">
        <v>45</v>
      </c>
      <c r="K5" s="3" t="s">
        <v>41</v>
      </c>
    </row>
    <row r="6" spans="1:14" ht="29" x14ac:dyDescent="0.35">
      <c r="A6" s="18">
        <v>46083</v>
      </c>
      <c r="B6" s="16">
        <v>0.64583333333333337</v>
      </c>
      <c r="C6" s="16"/>
      <c r="D6" s="3" t="s">
        <v>59</v>
      </c>
      <c r="E6" s="3" t="s">
        <v>67</v>
      </c>
      <c r="F6" s="3" t="s">
        <v>41</v>
      </c>
      <c r="G6" s="3" t="s">
        <v>22</v>
      </c>
      <c r="I6" s="3" t="s">
        <v>60</v>
      </c>
      <c r="K6" s="3" t="s">
        <v>41</v>
      </c>
    </row>
    <row r="7" spans="1:14" x14ac:dyDescent="0.35">
      <c r="A7" s="18">
        <v>46083</v>
      </c>
      <c r="B7" s="16">
        <v>0.66666666666666696</v>
      </c>
      <c r="C7" s="16"/>
      <c r="D7" s="3" t="s">
        <v>23</v>
      </c>
      <c r="E7" s="3" t="s">
        <v>44</v>
      </c>
      <c r="G7" s="3" t="s">
        <v>22</v>
      </c>
    </row>
    <row r="8" spans="1:14" x14ac:dyDescent="0.35">
      <c r="A8" s="18">
        <v>46083</v>
      </c>
      <c r="B8" s="16">
        <v>0.83333333333333304</v>
      </c>
      <c r="C8" s="16"/>
      <c r="D8" s="3" t="s">
        <v>27</v>
      </c>
      <c r="G8" s="3" t="s">
        <v>22</v>
      </c>
    </row>
    <row r="9" spans="1:14" ht="101.5" x14ac:dyDescent="0.35">
      <c r="A9" s="18">
        <v>46084</v>
      </c>
      <c r="B9" s="16">
        <v>0.375</v>
      </c>
      <c r="C9" s="16"/>
      <c r="D9" s="3" t="s">
        <v>46</v>
      </c>
      <c r="E9" s="3" t="s">
        <v>47</v>
      </c>
      <c r="F9" s="3" t="s">
        <v>40</v>
      </c>
      <c r="G9" s="3" t="s">
        <v>22</v>
      </c>
    </row>
    <row r="10" spans="1:14" ht="29" x14ac:dyDescent="0.35">
      <c r="A10" s="18">
        <v>46084</v>
      </c>
      <c r="B10" s="16">
        <v>0.41666666666666702</v>
      </c>
      <c r="C10" s="16"/>
      <c r="D10" s="3" t="s">
        <v>24</v>
      </c>
      <c r="E10" s="3" t="s">
        <v>48</v>
      </c>
      <c r="F10" s="3" t="s">
        <v>40</v>
      </c>
      <c r="G10" s="3" t="s">
        <v>22</v>
      </c>
    </row>
    <row r="11" spans="1:14" ht="29" x14ac:dyDescent="0.35">
      <c r="A11" s="18">
        <v>46084</v>
      </c>
      <c r="B11" s="16">
        <v>0.45833333333333298</v>
      </c>
      <c r="C11" s="16"/>
      <c r="D11" s="3" t="s">
        <v>25</v>
      </c>
      <c r="E11" s="5"/>
      <c r="G11" s="3" t="s">
        <v>22</v>
      </c>
    </row>
    <row r="12" spans="1:14" ht="29" x14ac:dyDescent="0.35">
      <c r="A12" s="18">
        <v>46084</v>
      </c>
      <c r="B12" s="16">
        <v>0.47916666666666669</v>
      </c>
      <c r="C12" s="16"/>
      <c r="D12" s="3" t="s">
        <v>63</v>
      </c>
      <c r="E12" s="5" t="s">
        <v>49</v>
      </c>
      <c r="F12" s="3" t="s">
        <v>74</v>
      </c>
      <c r="G12" s="3" t="s">
        <v>22</v>
      </c>
    </row>
    <row r="13" spans="1:14" ht="72.5" x14ac:dyDescent="0.35">
      <c r="A13" s="18">
        <v>46084</v>
      </c>
      <c r="B13" s="16">
        <v>0.5</v>
      </c>
      <c r="C13" s="16"/>
      <c r="D13" s="3" t="s">
        <v>26</v>
      </c>
      <c r="E13" s="3" t="s">
        <v>50</v>
      </c>
      <c r="F13" s="3" t="s">
        <v>41</v>
      </c>
      <c r="G13" s="3" t="s">
        <v>22</v>
      </c>
    </row>
    <row r="14" spans="1:14" x14ac:dyDescent="0.35">
      <c r="A14" s="18">
        <v>46084</v>
      </c>
      <c r="B14" s="16">
        <v>0.54166666666666796</v>
      </c>
      <c r="C14" s="16"/>
      <c r="D14" s="3" t="s">
        <v>51</v>
      </c>
      <c r="E14" s="3" t="s">
        <v>28</v>
      </c>
      <c r="G14" s="3" t="s">
        <v>22</v>
      </c>
    </row>
    <row r="15" spans="1:14" ht="87" x14ac:dyDescent="0.35">
      <c r="A15" s="18">
        <v>46084</v>
      </c>
      <c r="B15" s="16">
        <v>0.58333333333333504</v>
      </c>
      <c r="C15" s="16"/>
      <c r="D15" s="3" t="s">
        <v>29</v>
      </c>
      <c r="E15" s="3" t="s">
        <v>52</v>
      </c>
      <c r="F15" s="3" t="s">
        <v>41</v>
      </c>
      <c r="G15" s="3" t="s">
        <v>22</v>
      </c>
      <c r="I15" s="3" t="s">
        <v>53</v>
      </c>
    </row>
    <row r="16" spans="1:14" ht="29" x14ac:dyDescent="0.35">
      <c r="A16" s="18">
        <v>46084</v>
      </c>
      <c r="B16" s="16">
        <v>0.60416666666666663</v>
      </c>
      <c r="C16" s="16"/>
      <c r="D16" s="3" t="s">
        <v>54</v>
      </c>
      <c r="E16" s="3" t="s">
        <v>55</v>
      </c>
      <c r="F16" s="3" t="s">
        <v>73</v>
      </c>
      <c r="G16" s="3" t="s">
        <v>22</v>
      </c>
      <c r="I16" s="3" t="s">
        <v>70</v>
      </c>
    </row>
    <row r="17" spans="1:7" x14ac:dyDescent="0.35">
      <c r="A17" s="18">
        <v>46084</v>
      </c>
      <c r="B17" s="16">
        <v>0.625000000000002</v>
      </c>
      <c r="C17" s="16"/>
      <c r="D17" s="3" t="s">
        <v>57</v>
      </c>
      <c r="F17" s="3" t="s">
        <v>72</v>
      </c>
      <c r="G17" s="3" t="s">
        <v>22</v>
      </c>
    </row>
    <row r="18" spans="1:7" ht="43.5" x14ac:dyDescent="0.35">
      <c r="A18" s="18">
        <v>46084</v>
      </c>
      <c r="B18" s="16">
        <v>0.66666666666666896</v>
      </c>
      <c r="C18" s="16"/>
      <c r="D18" s="3" t="s">
        <v>58</v>
      </c>
      <c r="F18" s="3" t="s">
        <v>41</v>
      </c>
      <c r="G18" s="3" t="s">
        <v>22</v>
      </c>
    </row>
    <row r="19" spans="1:7" x14ac:dyDescent="0.35">
      <c r="A19" s="18">
        <v>46084</v>
      </c>
      <c r="B19" s="16">
        <v>0.70833333333333603</v>
      </c>
      <c r="C19" s="16"/>
      <c r="D19" s="3" t="s">
        <v>30</v>
      </c>
      <c r="F19" s="3" t="s">
        <v>41</v>
      </c>
      <c r="G19" s="3" t="s">
        <v>22</v>
      </c>
    </row>
    <row r="20" spans="1:7" x14ac:dyDescent="0.35">
      <c r="A20" s="18">
        <v>46084</v>
      </c>
      <c r="B20" s="16">
        <v>0.750000000000003</v>
      </c>
      <c r="C20" s="16"/>
      <c r="D20" s="3" t="s">
        <v>31</v>
      </c>
      <c r="F20" s="3" t="s">
        <v>72</v>
      </c>
      <c r="G20" s="3" t="s">
        <v>22</v>
      </c>
    </row>
    <row r="21" spans="1:7" x14ac:dyDescent="0.35">
      <c r="A21" s="18">
        <v>46084</v>
      </c>
      <c r="B21" s="16">
        <v>0.83333333333333703</v>
      </c>
      <c r="C21" s="16"/>
      <c r="D21" s="3" t="s">
        <v>27</v>
      </c>
      <c r="G21" s="3" t="s">
        <v>22</v>
      </c>
    </row>
    <row r="22" spans="1:7" ht="29" x14ac:dyDescent="0.35">
      <c r="A22" s="18">
        <v>46085</v>
      </c>
      <c r="B22" s="16">
        <v>0.25</v>
      </c>
      <c r="C22" s="16"/>
      <c r="D22" s="3" t="s">
        <v>61</v>
      </c>
      <c r="G22" s="3" t="s">
        <v>22</v>
      </c>
    </row>
    <row r="23" spans="1:7" x14ac:dyDescent="0.35">
      <c r="A23" s="18">
        <v>46085</v>
      </c>
      <c r="B23" s="16">
        <v>0.45833333333333298</v>
      </c>
      <c r="C23" s="16"/>
      <c r="D23" s="3" t="s">
        <v>62</v>
      </c>
    </row>
    <row r="24" spans="1:7" x14ac:dyDescent="0.35">
      <c r="A24" s="18">
        <v>46085</v>
      </c>
      <c r="B24" s="16">
        <v>0.47916666666666669</v>
      </c>
      <c r="C24" s="16"/>
      <c r="D24" s="3" t="s">
        <v>68</v>
      </c>
    </row>
    <row r="25" spans="1:7" ht="29" x14ac:dyDescent="0.35">
      <c r="A25" s="18">
        <v>46085</v>
      </c>
      <c r="B25" s="16">
        <v>0.5</v>
      </c>
      <c r="C25" s="16"/>
      <c r="D25" s="3" t="s">
        <v>56</v>
      </c>
      <c r="F25" s="3" t="s">
        <v>41</v>
      </c>
      <c r="G25" s="3" t="s">
        <v>22</v>
      </c>
    </row>
    <row r="26" spans="1:7" x14ac:dyDescent="0.35">
      <c r="A26" s="18">
        <v>46085</v>
      </c>
      <c r="B26" s="16">
        <v>0.54166666666666796</v>
      </c>
      <c r="C26" s="16"/>
      <c r="D26" s="3" t="s">
        <v>32</v>
      </c>
      <c r="G26" s="3" t="s">
        <v>22</v>
      </c>
    </row>
    <row r="27" spans="1:7" x14ac:dyDescent="0.35">
      <c r="A27" s="18">
        <v>46085</v>
      </c>
      <c r="B27" s="16">
        <v>0.58333333333333504</v>
      </c>
      <c r="C27" s="16"/>
      <c r="D27" s="3" t="s">
        <v>33</v>
      </c>
      <c r="F27" s="3" t="s">
        <v>40</v>
      </c>
      <c r="G27" s="3" t="s">
        <v>22</v>
      </c>
    </row>
    <row r="28" spans="1:7" ht="29" x14ac:dyDescent="0.35">
      <c r="A28" s="18">
        <v>46085</v>
      </c>
      <c r="B28" s="16">
        <v>0.625000000000002</v>
      </c>
      <c r="C28" s="16"/>
      <c r="D28" s="3" t="s">
        <v>69</v>
      </c>
      <c r="F28" s="3" t="s">
        <v>71</v>
      </c>
      <c r="G28" s="3" t="s">
        <v>83</v>
      </c>
    </row>
  </sheetData>
  <dataValidations count="1">
    <dataValidation type="list" allowBlank="1" sqref="Q4:Q74 N27:N174">
      <formula1>"Planned,In Progress,Completed"</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Client Profile</vt:lpstr>
      <vt:lpstr>Objective</vt:lpstr>
      <vt:lpstr>Objective_Visit</vt:lpstr>
      <vt:lpstr>Office Visit Plan_Updated</vt:lpstr>
      <vt:lpstr>Config</vt:lpstr>
      <vt:lpstr>Logistics</vt:lpstr>
      <vt:lpstr>Office Visit Plan - 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Raguvasan Srinivasan</cp:lastModifiedBy>
  <dcterms:created xsi:type="dcterms:W3CDTF">2026-01-29T08:11:57Z</dcterms:created>
  <dcterms:modified xsi:type="dcterms:W3CDTF">2026-02-19T14:46:52Z</dcterms:modified>
</cp:coreProperties>
</file>